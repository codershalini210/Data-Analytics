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tes\Data Analysis\"/>
    </mc:Choice>
  </mc:AlternateContent>
  <xr:revisionPtr revIDLastSave="0" documentId="8_{711C0E32-FC6A-4046-A69D-69C0FA42FF9C}" xr6:coauthVersionLast="47" xr6:coauthVersionMax="47" xr10:uidLastSave="{00000000-0000-0000-0000-000000000000}"/>
  <bookViews>
    <workbookView xWindow="-120" yWindow="-120" windowWidth="20730" windowHeight="11160" xr2:uid="{BABBA554-E9A6-4225-ABD2-5CE5C0688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H7" i="1"/>
  <c r="I7" i="1" s="1"/>
  <c r="H4" i="1"/>
  <c r="H5" i="1"/>
  <c r="I5" i="1" s="1"/>
  <c r="H6" i="1"/>
  <c r="J6" i="1" s="1"/>
  <c r="H3" i="1"/>
  <c r="I6" i="1" l="1"/>
  <c r="I4" i="1"/>
  <c r="J4" i="1" s="1"/>
  <c r="J7" i="1"/>
  <c r="I3" i="1"/>
  <c r="J3" i="1" s="1"/>
</calcChain>
</file>

<file path=xl/sharedStrings.xml><?xml version="1.0" encoding="utf-8"?>
<sst xmlns="http://schemas.openxmlformats.org/spreadsheetml/2006/main" count="28" uniqueCount="28">
  <si>
    <t>Name</t>
  </si>
  <si>
    <t>Student 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</si>
  <si>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</si>
  <si>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</si>
  <si>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</si>
  <si>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</si>
  <si>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</si>
  <si>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</si>
  <si>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</si>
  <si>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</si>
  <si>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</si>
  <si>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Rahul Sharma</t>
  </si>
  <si>
    <t>Priya Verma</t>
  </si>
  <si>
    <t>Ankit Singh</t>
  </si>
  <si>
    <t>Neha Gupta</t>
  </si>
  <si>
    <t>Vivek Patel</t>
  </si>
  <si>
    <t>1. STUDENT RECORD ENTRY</t>
  </si>
  <si>
    <t>Hindi</t>
  </si>
  <si>
    <t>Eng</t>
  </si>
  <si>
    <t>physics</t>
  </si>
  <si>
    <t>chemistry</t>
  </si>
  <si>
    <t>maths</t>
  </si>
  <si>
    <t>Total</t>
  </si>
  <si>
    <t>Percentage</t>
  </si>
  <si>
    <t>Division</t>
  </si>
  <si>
    <t>first</t>
  </si>
  <si>
    <t>second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</si>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</sst>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F30D-AA11-4C23-86CB-7B91BCD9ACB3}">
  <dimension ref="A1:K13"/>
  <sheetViews>
    <sheetView tabSelected="1" workbookViewId="0">
      <selection activeCell="F8" sqref="F8"/>
    </sheetView>
  </sheetViews>
  <sheetFormatPr defaultRowHeight="24.95" customHeight="1" x14ac:dyDescent="0.3"/>
  <cols>
    <col min="1" max="1" width="10.69921875" style="2" customWidth="1"/>
    <col min="2" max="2" width="12.69921875" style="3" customWidth="1"/>
    <col min="3" max="3" width="10.69921875" style="2" customWidth="1"/>
    <col min="4" max="4" width="10.69921875" style="1" customWidth="1"/>
    <col min="5" max="5" width="12.796875" style="1" customWidth="1"/>
    <col min="6" max="6" width="13.3984375" style="1" customWidth="1"/>
    <col min="7" max="9" width="10.69921875" style="1" customWidth="1"/>
    <col min="10" max="10" width="13.3984375" style="1" customWidth="1"/>
    <col min="11" max="11" width="10.69921875" style="1" customWidth="1"/>
    <col min="12" max="16384" width="8.796875" style="1"/>
  </cols>
  <sheetData>
    <row r="1" spans="1:11" ht="24.95" customHeight="1" x14ac:dyDescent="0.3">
      <c r="A1" s="9" t="s">
        <v>16</v>
      </c>
      <c r="B1" s="9"/>
      <c r="C1" s="9"/>
      <c r="D1" s="9"/>
      <c r="E1" s="9"/>
      <c r="F1" s="9"/>
      <c r="G1" s="9"/>
    </row>
    <row r="2" spans="1:11" s="2" customFormat="1" ht="24.95" customHeight="1" x14ac:dyDescent="0.3">
      <c r="A2" s="4" t="s">
        <v>1</v>
      </c>
      <c r="B2" s="4" t="s">
        <v>0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/>
    </row>
    <row r="3" spans="1:11" ht="24.95" customHeight="1" x14ac:dyDescent="0.3">
      <c r="A3" s="5" t="s">
        <v>2</v>
      </c>
      <c r="B3" s="6" t="s">
        <v>11</v>
      </c>
      <c r="C3" s="7">
        <v>35</v>
      </c>
      <c r="D3" s="5">
        <v>45</v>
      </c>
      <c r="E3" s="5">
        <v>65</v>
      </c>
      <c r="F3" s="5">
        <v>45</v>
      </c>
      <c r="G3" s="5">
        <v>75</v>
      </c>
      <c r="H3" s="5">
        <f>SUM(C3:G3)</f>
        <v>265</v>
      </c>
      <c r="I3" s="5">
        <f>H3/500 *100</f>
        <v>53</v>
      </c>
      <c r="J3" s="5" t="str">
        <f>IF(AND(C3&gt;32,D3&gt;32,E3&gt;32,F3&gt;32,G3&gt;32,H3&gt;32),IF(I3&gt;59,"First Division",IF(I3&gt;44,"Second Division","Third Division")),"Fail")</f>
        <v>Second Division</v>
      </c>
      <c r="K3" s="5"/>
    </row>
    <row r="4" spans="1:11" ht="24.95" customHeight="1" x14ac:dyDescent="0.3">
      <c r="A4" s="5" t="s">
        <v>3</v>
      </c>
      <c r="B4" s="6" t="s">
        <v>12</v>
      </c>
      <c r="C4" s="5">
        <v>45</v>
      </c>
      <c r="D4" s="5">
        <v>65</v>
      </c>
      <c r="E4" s="5">
        <v>74</v>
      </c>
      <c r="F4" s="5">
        <v>75</v>
      </c>
      <c r="G4" s="5">
        <v>85</v>
      </c>
      <c r="H4" s="5">
        <f t="shared" ref="H4:H7" si="0">SUM(C4:G4)</f>
        <v>344</v>
      </c>
      <c r="I4" s="5">
        <f t="shared" ref="I4:I7" si="1">H4/500 *100</f>
        <v>68.8</v>
      </c>
      <c r="J4" s="5" t="str">
        <f t="shared" ref="J4:J7" si="2">IF(AND(C4&gt;32,D4&gt;32,E4&gt;32,F4&gt;32,G4&gt;32,H4&gt;32),IF(I4&gt;59,"First Division",IF(I4&gt;44,"Second Division","Third Division")),"Fail")</f>
        <v>First Division</v>
      </c>
      <c r="K4" s="5"/>
    </row>
    <row r="5" spans="1:11" ht="24.95" customHeight="1" x14ac:dyDescent="0.3">
      <c r="A5" s="5" t="s">
        <v>4</v>
      </c>
      <c r="B5" s="6" t="s">
        <v>13</v>
      </c>
      <c r="C5" s="7">
        <v>75</v>
      </c>
      <c r="D5" s="5">
        <v>24</v>
      </c>
      <c r="E5" s="5">
        <v>25</v>
      </c>
      <c r="F5" s="5">
        <v>52</v>
      </c>
      <c r="G5" s="5">
        <v>65</v>
      </c>
      <c r="H5" s="5">
        <f t="shared" si="0"/>
        <v>241</v>
      </c>
      <c r="I5" s="5">
        <f t="shared" si="1"/>
        <v>48.199999999999996</v>
      </c>
      <c r="J5" s="5" t="str">
        <f>IF(AND(C5&gt;32,D5&gt;32,E5&gt;32,F5&gt;32,G5&gt;32,H5&gt;32),IF(I5&gt;59,"First Division",IF(I5&gt;44,"Second Division","Third Division")),"Fail")</f>
        <v>Fail</v>
      </c>
      <c r="K5" s="5"/>
    </row>
    <row r="6" spans="1:11" ht="24.95" customHeight="1" x14ac:dyDescent="0.3">
      <c r="A6" s="5" t="s">
        <v>5</v>
      </c>
      <c r="B6" s="6" t="s">
        <v>14</v>
      </c>
      <c r="C6" s="5">
        <v>25</v>
      </c>
      <c r="D6" s="5">
        <v>52</v>
      </c>
      <c r="E6" s="5">
        <v>36</v>
      </c>
      <c r="F6" s="5">
        <v>36</v>
      </c>
      <c r="G6" s="5">
        <v>45</v>
      </c>
      <c r="H6" s="5">
        <f t="shared" si="0"/>
        <v>194</v>
      </c>
      <c r="I6" s="5">
        <f t="shared" si="1"/>
        <v>38.800000000000004</v>
      </c>
      <c r="J6" s="5" t="str">
        <f t="shared" si="2"/>
        <v>Fail</v>
      </c>
      <c r="K6" s="5"/>
    </row>
    <row r="7" spans="1:11" ht="24.95" customHeight="1" x14ac:dyDescent="0.3">
      <c r="A7" s="5" t="s">
        <v>6</v>
      </c>
      <c r="B7" s="6" t="s">
        <v>15</v>
      </c>
      <c r="C7" s="7">
        <v>35</v>
      </c>
      <c r="D7" s="5">
        <v>45</v>
      </c>
      <c r="E7" s="5">
        <v>44</v>
      </c>
      <c r="F7" s="5">
        <v>50</v>
      </c>
      <c r="G7" s="5">
        <v>45</v>
      </c>
      <c r="H7" s="5">
        <f t="shared" si="0"/>
        <v>219</v>
      </c>
      <c r="I7" s="5">
        <f t="shared" si="1"/>
        <v>43.8</v>
      </c>
      <c r="J7" s="5" t="str">
        <f t="shared" si="2"/>
        <v>Third Division</v>
      </c>
      <c r="K7" s="5"/>
    </row>
    <row r="8" spans="1:11" ht="24.95" customHeight="1" x14ac:dyDescent="0.3">
      <c r="A8" s="5" t="s">
        <v>7</v>
      </c>
      <c r="B8" s="6"/>
      <c r="C8" s="5"/>
      <c r="D8" s="5"/>
      <c r="E8" s="5"/>
      <c r="F8" s="5"/>
      <c r="G8" s="5"/>
      <c r="H8" s="5"/>
      <c r="I8" s="5"/>
      <c r="J8" s="5"/>
      <c r="K8" s="5"/>
    </row>
    <row r="9" spans="1:11" ht="24.95" customHeight="1" x14ac:dyDescent="0.3">
      <c r="A9" s="5" t="s">
        <v>8</v>
      </c>
      <c r="B9" s="6"/>
      <c r="C9" s="7"/>
      <c r="D9" s="5"/>
      <c r="E9" s="5"/>
      <c r="F9" s="5"/>
      <c r="G9" s="5"/>
      <c r="H9" s="5"/>
      <c r="I9" s="5" t="s">
        <v>25</v>
      </c>
      <c r="J9" s="10"/>
      <c r="K9" s="5"/>
    </row>
    <row r="10" spans="1:11" ht="24.95" customHeight="1" x14ac:dyDescent="0.3">
      <c r="A10" s="5" t="s">
        <v>9</v>
      </c>
      <c r="B10" s="6"/>
      <c r="C10" s="5"/>
      <c r="D10" s="5"/>
      <c r="E10" s="5"/>
      <c r="F10" s="5"/>
      <c r="G10" s="5"/>
      <c r="H10" s="5"/>
      <c r="I10" s="5" t="s">
        <v>26</v>
      </c>
      <c r="J10" s="11"/>
      <c r="K10" s="5"/>
    </row>
    <row r="11" spans="1:11" ht="24.95" customHeight="1" x14ac:dyDescent="0.3">
      <c r="A11" s="5" t="s">
        <v>10</v>
      </c>
      <c r="B11" s="6"/>
      <c r="C11" s="7"/>
      <c r="D11" s="5"/>
      <c r="E11" s="5"/>
      <c r="F11" s="5"/>
      <c r="G11" s="5"/>
      <c r="H11" s="5"/>
      <c r="I11" s="5" t="s">
        <v>27</v>
      </c>
      <c r="J11" s="12"/>
      <c r="K11" s="5"/>
    </row>
    <row r="13" spans="1:11" ht="24.95" customHeight="1" x14ac:dyDescent="0.3">
      <c r="E13" s="8"/>
    </row>
  </sheetData>
  <mergeCells count="1">
    <mergeCell ref="A1:G1"/>
  </mergeCells>
  <phoneticPr fontId="3" type="noConversion"/>
  <conditionalFormatting sqref="J5">
    <cfRule type="cellIs" dxfId="2" priority="2" operator="equal">
      <formula>"Fail"</formula>
    </cfRule>
  </conditionalFormatting>
  <conditionalFormatting sqref="A5:J5">
    <cfRule type="cellIs" dxfId="0" priority="1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2026-05-18T04:53:02Z</dcterms:created>
  <dcterms:modified xsi:type="dcterms:W3CDTF">2026-05-19T05:06:33Z</dcterms:modified>
</cp:coreProperties>
</file>